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ção" sheetId="1" state="visible" r:id="rId3"/>
    <sheet name="Resumo" sheetId="2" state="visible" r:id="rId4"/>
  </sheets>
  <definedNames>
    <definedName function="false" hidden="false" localSheetId="0" name="_xlnm.Print_Titles" vbProcedure="false">Consolidação!$11:$11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<sst xmlns="http://schemas.openxmlformats.org/spreadsheetml/2006/main" count="55" uniqueCount="51">
  <si>
    <t xml:space="preserve">Consolidação da avaliação heurística</t>
  </si>
  <si>
    <t xml:space="preserve">Preencher apenas as células com fundo cinza.</t>
  </si>
  <si>
    <t xml:space="preserve">Autor do protótipo</t>
  </si>
  <si>
    <t xml:space="preserve">Tiago Jarruge Saraiva</t>
  </si>
  <si>
    <t xml:space="preserve">Sistema avaliado</t>
  </si>
  <si>
    <t xml:space="preserve">Site do Tribunal Superior Eleitoral</t>
  </si>
  <si>
    <t xml:space="preserve">Tarefa proposta</t>
  </si>
  <si>
    <t xml:space="preserve">1. Encontre os bens declarados por Marina Duarte, candidata a deputada estadual por SP nas eleições de 2026, e informe o valor total.
2. Descubra quanto Rafael Nogueira, candidato a deputado federal por MG em 2026, declarou em despesas com publicidade.
3. Encontre o nome de quem preside nacionalmente o Partido Horizonte Cívico — PHC.
</t>
  </si>
  <si>
    <t xml:space="preserve">Avaliadores</t>
  </si>
  <si>
    <t xml:space="preserve">Brian Gustavo de Oliveira Brandão, Abraão Mange Garcia Gama, Bárbara Letícia da Silva</t>
  </si>
  <si>
    <t xml:space="preserve">Data</t>
  </si>
  <si>
    <t xml:space="preserve">Nº</t>
  </si>
  <si>
    <t xml:space="preserve">Tela</t>
  </si>
  <si>
    <t xml:space="preserve">Heurística violada</t>
  </si>
  <si>
    <t xml:space="preserve">Descrição do problema</t>
  </si>
  <si>
    <t xml:space="preserve">Sev.</t>
  </si>
  <si>
    <t xml:space="preserve">Encontrado por</t>
  </si>
  <si>
    <t xml:space="preserve">Recomendação</t>
  </si>
  <si>
    <t xml:space="preserve">Tela de início, tela de candidatura, tela de contas, tela de informações da candidata Marina Duarte, tela de informações do candidato Rafael Nogueira, tela de partidos, tela de informações do partido PHC</t>
  </si>
  <si>
    <t xml:space="preserve">2. Correspondência com o mundo real</t>
  </si>
  <si>
    <t xml:space="preserve">1 de 3</t>
  </si>
  <si>
    <t xml:space="preserve">A recomendação é fazer atualizar sozinho.</t>
  </si>
  <si>
    <t xml:space="preserve">Página do calendário</t>
  </si>
  <si>
    <t xml:space="preserve">7. Flexibilidade e eficiência de uso</t>
  </si>
  <si>
    <t xml:space="preserve"> O acesso nas informações presentes na página do calendário ser feito apenas no direcional "ver detalhes". Nas demais páginas, o acesso pode ser feito diretamente na frase.</t>
  </si>
  <si>
    <t xml:space="preserve">2 de 3</t>
  </si>
  <si>
    <t xml:space="preserve">Seria bom manter o padrão (não sendo necessário tirar o "ver detalhes)</t>
  </si>
  <si>
    <t xml:space="preserve">Resumo dos achados</t>
  </si>
  <si>
    <t xml:space="preserve">Calculado automaticamente a partir da aba Consolidação.</t>
  </si>
  <si>
    <t xml:space="preserve">Por severidade</t>
  </si>
  <si>
    <t xml:space="preserve">Severidade</t>
  </si>
  <si>
    <t xml:space="preserve">Quantidade</t>
  </si>
  <si>
    <t xml:space="preserve">Significado</t>
  </si>
  <si>
    <t xml:space="preserve">catástrofe, corrigir antes de entregar</t>
  </si>
  <si>
    <t xml:space="preserve">grave, alta prioridade</t>
  </si>
  <si>
    <t xml:space="preserve">menor, baixa prioridade</t>
  </si>
  <si>
    <t xml:space="preserve">cosmético, corrigir se sobrar tempo</t>
  </si>
  <si>
    <t xml:space="preserve">não é problema de usabilidade</t>
  </si>
  <si>
    <t xml:space="preserve">Total</t>
  </si>
  <si>
    <t xml:space="preserve">Por heurística</t>
  </si>
  <si>
    <t xml:space="preserve">Heurística</t>
  </si>
  <si>
    <t xml:space="preserve">1. Visibilidade do estado do sistema</t>
  </si>
  <si>
    <t xml:space="preserve">3. Controle e liberdade do usuário</t>
  </si>
  <si>
    <t xml:space="preserve">4. Consistência e padrões</t>
  </si>
  <si>
    <t xml:space="preserve">5. Prevenção de erros</t>
  </si>
  <si>
    <t xml:space="preserve">6. Reconhecimento em vez de memorização</t>
  </si>
  <si>
    <t xml:space="preserve">8. Estética e design minimalista</t>
  </si>
  <si>
    <t xml:space="preserve">9. Reconhecer  diagnosticar e recuperar de erros</t>
  </si>
  <si>
    <t xml:space="preserve">10. Ajuda e documentação</t>
  </si>
  <si>
    <t xml:space="preserve">Um avaliador sozinho encontra apenas parte dos problemas. Achados marcados</t>
  </si>
  <si>
    <t xml:space="preserve">como 1 de 3 são justamente o que justifica usar mais de um avaliador.</t>
  </si>
</sst>
</file>

<file path=xl/styles.xml><?xml version="1.0" encoding="utf-8"?>
<styleSheet xmlns="http://schemas.openxmlformats.org/spreadsheetml/2006/main">
  <numFmts count="2">
    <numFmt numFmtId="164" formatCode="General"/>
    <numFmt numFmtId="165" formatCode="dd/mm/yy"/>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808080"/>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00"/>
      <name val="Arial"/>
      <family val="0"/>
    </font>
    <font>
      <b val="true"/>
      <sz val="11"/>
      <name val="Arial"/>
      <family val="0"/>
      <charset val="1"/>
    </font>
  </fonts>
  <fills count="4">
    <fill>
      <patternFill patternType="none"/>
    </fill>
    <fill>
      <patternFill patternType="gray125"/>
    </fill>
    <fill>
      <patternFill patternType="solid">
        <fgColor rgb="FFF2F2F2"/>
        <bgColor rgb="FFFFFFFF"/>
      </patternFill>
    </fill>
    <fill>
      <patternFill patternType="solid">
        <fgColor rgb="FF404040"/>
        <bgColor rgb="FF333300"/>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center" textRotation="0" wrapText="false" indent="0" shrinkToFit="false"/>
      <protection locked="true" hidden="false"/>
    </xf>
    <xf numFmtId="164" fontId="7" fillId="2" borderId="1" xfId="0" applyFont="true" applyBorder="tru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bottom" textRotation="0" wrapText="true" indent="0" shrinkToFit="false"/>
      <protection locked="true" hidden="false"/>
    </xf>
    <xf numFmtId="165" fontId="7" fillId="2" borderId="1" xfId="0" applyFont="true" applyBorder="true" applyAlignment="true" applyProtection="true">
      <alignment horizontal="general" vertical="bottom" textRotation="0" wrapText="false" indent="0" shrinkToFit="false"/>
      <protection locked="true" hidden="false"/>
    </xf>
    <xf numFmtId="164" fontId="8" fillId="3" borderId="2" xfId="0" applyFont="true" applyBorder="true" applyAlignment="true" applyProtection="true">
      <alignment horizontal="center" vertical="center" textRotation="0" wrapText="true" indent="0" shrinkToFit="false"/>
      <protection locked="true" hidden="false"/>
    </xf>
    <xf numFmtId="164" fontId="7" fillId="2" borderId="2" xfId="0" applyFont="true" applyBorder="true" applyAlignment="true" applyProtection="true">
      <alignment horizontal="center" vertical="top" textRotation="0" wrapText="true" indent="0" shrinkToFit="false"/>
      <protection locked="true" hidden="false"/>
    </xf>
    <xf numFmtId="164" fontId="7" fillId="2" borderId="2" xfId="0" applyFont="true" applyBorder="true" applyAlignment="true" applyProtection="true">
      <alignment horizontal="left" vertical="top" textRotation="0" wrapText="true" indent="0" shrinkToFit="false"/>
      <protection locked="true" hidden="false"/>
    </xf>
    <xf numFmtId="164" fontId="9" fillId="2" borderId="2" xfId="0" applyFont="true" applyBorder="tru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8" fillId="3" borderId="2" xfId="0" applyFont="true" applyBorder="true" applyAlignment="true" applyProtection="true">
      <alignment horizontal="center" vertical="bottom" textRotation="0" wrapText="false" indent="0" shrinkToFit="false"/>
      <protection locked="true" hidden="false"/>
    </xf>
    <xf numFmtId="164" fontId="7" fillId="0" borderId="2" xfId="0" applyFont="true" applyBorder="true" applyAlignment="true" applyProtection="true">
      <alignment horizontal="center"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H11" activeCellId="0" sqref="H1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8"/>
    <col collapsed="false" customWidth="true" hidden="false" outlineLevel="0" max="4" min="4" style="1" width="52"/>
    <col collapsed="false" customWidth="true" hidden="false" outlineLevel="0" max="5" min="5" style="1" width="7"/>
    <col collapsed="false" customWidth="true" hidden="false" outlineLevel="0" max="6" min="6" style="1" width="15"/>
    <col collapsed="false" customWidth="true" hidden="false" outlineLevel="0" max="7" min="7" style="1" width="44"/>
  </cols>
  <sheetData>
    <row r="1" customFormat="false" ht="17.35" hidden="false" customHeight="false" outlineLevel="0" collapsed="false">
      <c r="A1" s="2" t="s">
        <v>0</v>
      </c>
    </row>
    <row r="2" customFormat="false" ht="15" hidden="false" customHeight="false" outlineLevel="0" collapsed="false">
      <c r="A2" s="3" t="s">
        <v>1</v>
      </c>
    </row>
    <row r="4" customFormat="false" ht="18" hidden="false" customHeight="true" outlineLevel="0" collapsed="false">
      <c r="A4" s="4" t="s">
        <v>2</v>
      </c>
      <c r="B4" s="4"/>
      <c r="C4" s="5" t="s">
        <v>3</v>
      </c>
      <c r="D4" s="5"/>
      <c r="E4" s="5"/>
      <c r="F4" s="5"/>
      <c r="G4" s="5"/>
    </row>
    <row r="5" customFormat="false" ht="18" hidden="false" customHeight="true" outlineLevel="0" collapsed="false">
      <c r="A5" s="4" t="s">
        <v>4</v>
      </c>
      <c r="B5" s="4"/>
      <c r="C5" s="5" t="s">
        <v>5</v>
      </c>
      <c r="D5" s="5"/>
      <c r="E5" s="5"/>
      <c r="F5" s="5"/>
      <c r="G5" s="5"/>
    </row>
    <row r="6" customFormat="false" ht="18" hidden="false" customHeight="true" outlineLevel="0" collapsed="false">
      <c r="A6" s="4" t="s">
        <v>6</v>
      </c>
      <c r="B6" s="4"/>
      <c r="C6" s="6" t="s">
        <v>7</v>
      </c>
      <c r="D6" s="6"/>
      <c r="E6" s="6"/>
      <c r="F6" s="6"/>
      <c r="G6" s="6"/>
    </row>
    <row r="7" customFormat="false" ht="18" hidden="false" customHeight="true" outlineLevel="0" collapsed="false">
      <c r="A7" s="4" t="s">
        <v>8</v>
      </c>
      <c r="B7" s="4"/>
      <c r="C7" s="5" t="s">
        <v>9</v>
      </c>
      <c r="D7" s="5"/>
      <c r="E7" s="5"/>
      <c r="F7" s="5"/>
      <c r="G7" s="5"/>
    </row>
    <row r="8" customFormat="false" ht="18" hidden="false" customHeight="true" outlineLevel="0" collapsed="false">
      <c r="A8" s="4" t="s">
        <v>10</v>
      </c>
      <c r="B8" s="4"/>
      <c r="C8" s="7" t="n">
        <v>46282</v>
      </c>
      <c r="D8" s="7"/>
      <c r="E8" s="7"/>
      <c r="F8" s="7"/>
      <c r="G8" s="7"/>
    </row>
    <row r="11" customFormat="false" ht="27.75" hidden="false" customHeight="true" outlineLevel="0" collapsed="false">
      <c r="A11" s="8" t="s">
        <v>11</v>
      </c>
      <c r="B11" s="8" t="s">
        <v>12</v>
      </c>
      <c r="C11" s="8" t="s">
        <v>13</v>
      </c>
      <c r="D11" s="8" t="s">
        <v>14</v>
      </c>
      <c r="E11" s="8" t="s">
        <v>15</v>
      </c>
      <c r="F11" s="8" t="s">
        <v>16</v>
      </c>
      <c r="G11" s="8" t="s">
        <v>17</v>
      </c>
    </row>
    <row r="12" customFormat="false" ht="163.85" hidden="false" customHeight="true" outlineLevel="0" collapsed="false">
      <c r="A12" s="9" t="n">
        <v>1</v>
      </c>
      <c r="B12" s="10" t="s">
        <v>18</v>
      </c>
      <c r="C12" s="10" t="s">
        <v>19</v>
      </c>
      <c r="D12" s="10" t="s">
        <v>18</v>
      </c>
      <c r="E12" s="9" t="n">
        <v>2</v>
      </c>
      <c r="F12" s="9" t="s">
        <v>20</v>
      </c>
      <c r="G12" s="11" t="s">
        <v>21</v>
      </c>
    </row>
    <row r="13" customFormat="false" ht="69.25" hidden="false" customHeight="true" outlineLevel="0" collapsed="false">
      <c r="A13" s="9" t="n">
        <v>2</v>
      </c>
      <c r="B13" s="10" t="s">
        <v>22</v>
      </c>
      <c r="C13" s="10" t="s">
        <v>23</v>
      </c>
      <c r="D13" s="10" t="s">
        <v>24</v>
      </c>
      <c r="E13" s="9" t="n">
        <v>2</v>
      </c>
      <c r="F13" s="9" t="s">
        <v>25</v>
      </c>
      <c r="G13" s="10" t="s">
        <v>26</v>
      </c>
    </row>
    <row r="14" customFormat="false" ht="33.75" hidden="false" customHeight="true" outlineLevel="0" collapsed="false">
      <c r="A14" s="9" t="n">
        <v>3</v>
      </c>
      <c r="B14" s="10"/>
      <c r="C14" s="10"/>
      <c r="D14" s="10"/>
      <c r="E14" s="9"/>
      <c r="F14" s="9"/>
      <c r="G14" s="10"/>
    </row>
    <row r="15" customFormat="false" ht="33.75" hidden="false" customHeight="true" outlineLevel="0" collapsed="false">
      <c r="A15" s="9" t="n">
        <v>4</v>
      </c>
      <c r="B15" s="10"/>
      <c r="C15" s="10"/>
      <c r="D15" s="10"/>
      <c r="E15" s="9"/>
      <c r="F15" s="9"/>
      <c r="G15" s="10"/>
    </row>
    <row r="16" customFormat="false" ht="33.75" hidden="false" customHeight="true" outlineLevel="0" collapsed="false">
      <c r="A16" s="9" t="n">
        <v>5</v>
      </c>
      <c r="B16" s="10"/>
      <c r="C16" s="10"/>
      <c r="D16" s="10"/>
      <c r="E16" s="9"/>
      <c r="F16" s="9"/>
      <c r="G16" s="10"/>
    </row>
    <row r="17" customFormat="false" ht="33.75" hidden="false" customHeight="true" outlineLevel="0" collapsed="false">
      <c r="A17" s="9" t="n">
        <v>6</v>
      </c>
      <c r="B17" s="10"/>
      <c r="C17" s="10"/>
      <c r="D17" s="10"/>
      <c r="E17" s="9"/>
      <c r="F17" s="9"/>
      <c r="G17" s="10"/>
    </row>
    <row r="18" customFormat="false" ht="33.75" hidden="false" customHeight="true" outlineLevel="0" collapsed="false">
      <c r="A18" s="9" t="n">
        <v>7</v>
      </c>
      <c r="B18" s="10"/>
      <c r="C18" s="10"/>
      <c r="D18" s="10"/>
      <c r="E18" s="9"/>
      <c r="F18" s="9"/>
      <c r="G18" s="10"/>
    </row>
    <row r="19" customFormat="false" ht="33.75" hidden="false" customHeight="true" outlineLevel="0" collapsed="false">
      <c r="A19" s="9" t="n">
        <v>8</v>
      </c>
      <c r="B19" s="10"/>
      <c r="C19" s="10"/>
      <c r="D19" s="10"/>
      <c r="E19" s="9"/>
      <c r="F19" s="9"/>
      <c r="G19" s="10"/>
    </row>
    <row r="20" customFormat="false" ht="33.75" hidden="false" customHeight="true" outlineLevel="0" collapsed="false">
      <c r="A20" s="9" t="n">
        <v>9</v>
      </c>
      <c r="B20" s="10"/>
      <c r="C20" s="10"/>
      <c r="D20" s="10"/>
      <c r="E20" s="9"/>
      <c r="F20" s="9"/>
      <c r="G20" s="10"/>
    </row>
    <row r="21" customFormat="false" ht="33.75" hidden="false" customHeight="true" outlineLevel="0" collapsed="false">
      <c r="A21" s="9" t="n">
        <v>10</v>
      </c>
      <c r="B21" s="10"/>
      <c r="C21" s="10"/>
      <c r="D21" s="10"/>
      <c r="E21" s="9"/>
      <c r="F21" s="9"/>
      <c r="G21" s="10"/>
    </row>
    <row r="22" customFormat="false" ht="33.75" hidden="false" customHeight="true" outlineLevel="0" collapsed="false">
      <c r="A22" s="9" t="n">
        <v>11</v>
      </c>
      <c r="B22" s="10"/>
      <c r="C22" s="10"/>
      <c r="D22" s="10"/>
      <c r="E22" s="9"/>
      <c r="F22" s="9"/>
      <c r="G22" s="10"/>
    </row>
    <row r="23" customFormat="false" ht="33.75" hidden="false" customHeight="true" outlineLevel="0" collapsed="false">
      <c r="A23" s="9" t="n">
        <v>12</v>
      </c>
      <c r="B23" s="10"/>
      <c r="C23" s="10"/>
      <c r="D23" s="10"/>
      <c r="E23" s="9"/>
      <c r="F23" s="9"/>
      <c r="G23" s="10"/>
    </row>
    <row r="24" customFormat="false" ht="33.75" hidden="false" customHeight="true" outlineLevel="0" collapsed="false">
      <c r="A24" s="9" t="n">
        <v>13</v>
      </c>
      <c r="B24" s="10"/>
      <c r="C24" s="10"/>
      <c r="D24" s="10"/>
      <c r="E24" s="9"/>
      <c r="F24" s="9"/>
      <c r="G24" s="10"/>
    </row>
    <row r="25" customFormat="false" ht="33.75" hidden="false" customHeight="true" outlineLevel="0" collapsed="false">
      <c r="A25" s="9"/>
      <c r="B25" s="10"/>
      <c r="C25" s="10"/>
      <c r="D25" s="10"/>
      <c r="E25" s="9"/>
      <c r="F25" s="9"/>
      <c r="G25" s="10"/>
    </row>
    <row r="26" customFormat="false" ht="33.75" hidden="false" customHeight="true" outlineLevel="0" collapsed="false">
      <c r="A26" s="9"/>
      <c r="B26" s="10"/>
      <c r="C26" s="10"/>
      <c r="D26" s="10"/>
      <c r="E26" s="9"/>
      <c r="F26" s="9"/>
      <c r="G26" s="10"/>
    </row>
    <row r="27" customFormat="false" ht="33.75" hidden="false" customHeight="true" outlineLevel="0" collapsed="false">
      <c r="A27" s="9"/>
      <c r="B27" s="10"/>
      <c r="C27" s="10"/>
      <c r="D27" s="10"/>
      <c r="E27" s="9"/>
      <c r="F27" s="9"/>
      <c r="G27" s="10"/>
    </row>
    <row r="28" customFormat="false" ht="33.75" hidden="false" customHeight="true" outlineLevel="0" collapsed="false">
      <c r="A28" s="9"/>
      <c r="B28" s="10"/>
      <c r="C28" s="10"/>
      <c r="D28" s="10"/>
      <c r="E28" s="9"/>
      <c r="F28" s="9"/>
      <c r="G28" s="10"/>
    </row>
    <row r="29" customFormat="false" ht="33.75" hidden="false" customHeight="true" outlineLevel="0" collapsed="false">
      <c r="A29" s="9"/>
      <c r="B29" s="10"/>
      <c r="C29" s="10"/>
      <c r="D29" s="10"/>
      <c r="E29" s="9"/>
      <c r="F29" s="9"/>
      <c r="G29" s="10"/>
    </row>
    <row r="30" customFormat="false" ht="33.75" hidden="false" customHeight="true" outlineLevel="0" collapsed="false">
      <c r="A30" s="9"/>
      <c r="B30" s="10"/>
      <c r="C30" s="10"/>
      <c r="D30" s="10"/>
      <c r="E30" s="9"/>
      <c r="F30" s="9"/>
      <c r="G30" s="10"/>
    </row>
    <row r="31" customFormat="false" ht="33.75" hidden="false" customHeight="true" outlineLevel="0" collapsed="false">
      <c r="A31" s="9"/>
      <c r="B31" s="10"/>
      <c r="C31" s="10"/>
      <c r="D31" s="10"/>
      <c r="E31" s="9"/>
      <c r="F31" s="9"/>
      <c r="G31" s="10"/>
    </row>
    <row r="32" customFormat="false" ht="33.75" hidden="false" customHeight="true" outlineLevel="0" collapsed="false">
      <c r="A32" s="9"/>
      <c r="B32" s="10"/>
      <c r="C32" s="10"/>
      <c r="D32" s="10"/>
      <c r="E32" s="9"/>
      <c r="F32" s="9"/>
      <c r="G32" s="10"/>
    </row>
    <row r="33" customFormat="false" ht="33.75" hidden="false" customHeight="true" outlineLevel="0" collapsed="false">
      <c r="A33" s="9"/>
      <c r="B33" s="10"/>
      <c r="C33" s="10"/>
      <c r="D33" s="10"/>
      <c r="E33" s="9"/>
      <c r="F33" s="9"/>
      <c r="G33" s="10"/>
    </row>
    <row r="34" customFormat="false" ht="33.75" hidden="false" customHeight="true" outlineLevel="0" collapsed="false">
      <c r="A34" s="9"/>
      <c r="B34" s="10"/>
      <c r="C34" s="10"/>
      <c r="D34" s="10"/>
      <c r="E34" s="9"/>
      <c r="F34" s="9"/>
      <c r="G34" s="10"/>
    </row>
    <row r="35" customFormat="false" ht="33.75" hidden="false" customHeight="true" outlineLevel="0" collapsed="false">
      <c r="A35" s="9"/>
      <c r="B35" s="10"/>
      <c r="C35" s="10"/>
      <c r="D35" s="10"/>
      <c r="E35" s="9"/>
      <c r="F35" s="9"/>
      <c r="G35" s="10"/>
    </row>
    <row r="36" customFormat="false" ht="33.75" hidden="false" customHeight="true" outlineLevel="0" collapsed="false">
      <c r="A36" s="9"/>
      <c r="B36" s="10"/>
      <c r="C36" s="10"/>
      <c r="D36" s="10"/>
      <c r="E36" s="9"/>
      <c r="F36" s="9"/>
      <c r="G36" s="10"/>
    </row>
    <row r="37" customFormat="false" ht="33.75" hidden="false" customHeight="true" outlineLevel="0" collapsed="false">
      <c r="A37" s="9"/>
      <c r="B37" s="10"/>
      <c r="C37" s="10"/>
      <c r="D37" s="10"/>
      <c r="E37" s="9"/>
      <c r="F37" s="9"/>
      <c r="G37" s="10"/>
    </row>
    <row r="38" customFormat="false" ht="33.75" hidden="false" customHeight="true" outlineLevel="0" collapsed="false">
      <c r="A38" s="9"/>
      <c r="B38" s="10"/>
      <c r="C38" s="10"/>
      <c r="D38" s="10"/>
      <c r="E38" s="9"/>
      <c r="F38" s="9"/>
      <c r="G38" s="10"/>
    </row>
    <row r="39" customFormat="false" ht="33.75" hidden="false" customHeight="true" outlineLevel="0" collapsed="false">
      <c r="A39" s="9"/>
      <c r="B39" s="10"/>
      <c r="C39" s="10"/>
      <c r="D39" s="10"/>
      <c r="E39" s="9"/>
      <c r="F39" s="9"/>
      <c r="G39" s="10"/>
    </row>
    <row r="40" customFormat="false" ht="33.75" hidden="false" customHeight="true" outlineLevel="0" collapsed="false">
      <c r="A40" s="9"/>
      <c r="B40" s="10"/>
      <c r="C40" s="10"/>
      <c r="D40" s="10"/>
      <c r="E40" s="9"/>
      <c r="F40" s="9"/>
      <c r="G40" s="10"/>
    </row>
    <row r="1048576" customFormat="false" ht="12.8" hidden="false" customHeight="false" outlineLevel="0" collapsed="false"/>
  </sheetData>
  <mergeCells count="10">
    <mergeCell ref="A4:B4"/>
    <mergeCell ref="C4:G4"/>
    <mergeCell ref="A5:B5"/>
    <mergeCell ref="C5:G5"/>
    <mergeCell ref="A6:B6"/>
    <mergeCell ref="C6:G6"/>
    <mergeCell ref="A7:B7"/>
    <mergeCell ref="C7:G7"/>
    <mergeCell ref="A8:B8"/>
    <mergeCell ref="C8:G8"/>
  </mergeCells>
  <dataValidations count="3">
    <dataValidation allowBlank="true" error="Escolha uma das dez heurísticas." errorStyle="stop" errorTitle="Heurística inválida" operator="between" showDropDown="false" showErrorMessage="false" showInputMessage="false" sqref="C12:C40" type="list">
      <formula1>"1. Visibilidade do estado do sistema,2. Correspondência com o mundo real,3. Controle e liberdade do usuário,4. Consistência e padrões,5. Prevenção de erros,6. Reconhecimento em vez de memorização,7. Flexibilidade e eficiência de uso,8. Estética e design m"</formula1>
      <formula2>0</formula2>
    </dataValidation>
    <dataValidation allowBlank="true" error="A severidade vai de 0 a 4." errorStyle="stop" errorTitle="Severidade inválida" operator="between" showDropDown="false" showErrorMessage="false" showInputMessage="false" sqref="E12:E40" type="list">
      <formula1>"0,1,2,3,4"</formula1>
      <formula2>0</formula2>
    </dataValidation>
    <dataValidation allowBlank="true" errorStyle="stop" operator="between" showDropDown="false" showErrorMessage="false" showInputMessage="false" sqref="F12:F40" type="list">
      <formula1>"1 de 3,2 de 3,3 de 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40"/>
  </cols>
  <sheetData>
    <row r="1" customFormat="false" ht="17.35" hidden="false" customHeight="false" outlineLevel="0" collapsed="false">
      <c r="A1" s="2" t="s">
        <v>27</v>
      </c>
    </row>
    <row r="2" customFormat="false" ht="15" hidden="false" customHeight="false" outlineLevel="0" collapsed="false">
      <c r="A2" s="3" t="s">
        <v>28</v>
      </c>
    </row>
    <row r="4" customFormat="false" ht="15" hidden="false" customHeight="false" outlineLevel="0" collapsed="false">
      <c r="A4" s="12" t="s">
        <v>29</v>
      </c>
    </row>
    <row r="5" customFormat="false" ht="15" hidden="false" customHeight="false" outlineLevel="0" collapsed="false">
      <c r="A5" s="13" t="s">
        <v>30</v>
      </c>
      <c r="B5" s="13" t="s">
        <v>31</v>
      </c>
      <c r="C5" s="13" t="s">
        <v>32</v>
      </c>
    </row>
    <row r="6" customFormat="false" ht="15" hidden="false" customHeight="false" outlineLevel="0" collapsed="false">
      <c r="A6" s="14" t="n">
        <v>4</v>
      </c>
      <c r="B6" s="14" t="n">
        <f aca="false">COUNTIF(Consolidação!$E$12:$E$40,A6)</f>
        <v>0</v>
      </c>
      <c r="C6" s="15" t="s">
        <v>33</v>
      </c>
    </row>
    <row r="7" customFormat="false" ht="15" hidden="false" customHeight="false" outlineLevel="0" collapsed="false">
      <c r="A7" s="14" t="n">
        <v>3</v>
      </c>
      <c r="B7" s="14" t="n">
        <f aca="false">COUNTIF(Consolidação!$E$12:$E$40,A7)</f>
        <v>0</v>
      </c>
      <c r="C7" s="15" t="s">
        <v>34</v>
      </c>
    </row>
    <row r="8" customFormat="false" ht="15" hidden="false" customHeight="false" outlineLevel="0" collapsed="false">
      <c r="A8" s="14" t="n">
        <v>2</v>
      </c>
      <c r="B8" s="14" t="n">
        <f aca="false">COUNTIF(Consolidação!$E$12:$E$40,A8)</f>
        <v>2</v>
      </c>
      <c r="C8" s="15" t="s">
        <v>35</v>
      </c>
    </row>
    <row r="9" customFormat="false" ht="15" hidden="false" customHeight="false" outlineLevel="0" collapsed="false">
      <c r="A9" s="14" t="n">
        <v>1</v>
      </c>
      <c r="B9" s="14" t="n">
        <f aca="false">COUNTIF(Consolidação!$E$12:$E$40,A9)</f>
        <v>0</v>
      </c>
      <c r="C9" s="15" t="s">
        <v>36</v>
      </c>
    </row>
    <row r="10" customFormat="false" ht="15" hidden="false" customHeight="false" outlineLevel="0" collapsed="false">
      <c r="A10" s="14" t="n">
        <v>0</v>
      </c>
      <c r="B10" s="14" t="n">
        <f aca="false">COUNTIF(Consolidação!$E$12:$E$40,A10)</f>
        <v>0</v>
      </c>
      <c r="C10" s="15" t="s">
        <v>37</v>
      </c>
    </row>
    <row r="11" customFormat="false" ht="15" hidden="false" customHeight="false" outlineLevel="0" collapsed="false">
      <c r="A11" s="16" t="s">
        <v>38</v>
      </c>
      <c r="B11" s="17" t="n">
        <f aca="false">COUNT(Consolidação!$E$12:$E$40)</f>
        <v>2</v>
      </c>
      <c r="C11" s="18"/>
    </row>
    <row r="14" customFormat="false" ht="15" hidden="false" customHeight="false" outlineLevel="0" collapsed="false">
      <c r="A14" s="12" t="s">
        <v>39</v>
      </c>
    </row>
    <row r="15" customFormat="false" ht="15" hidden="false" customHeight="false" outlineLevel="0" collapsed="false">
      <c r="A15" s="13" t="s">
        <v>40</v>
      </c>
      <c r="B15" s="13" t="s">
        <v>31</v>
      </c>
    </row>
    <row r="16" customFormat="false" ht="15" hidden="false" customHeight="false" outlineLevel="0" collapsed="false">
      <c r="A16" s="15" t="s">
        <v>41</v>
      </c>
      <c r="B16" s="14" t="n">
        <f aca="false">COUNTIF(Consolidação!$C$12:$C$40,A16)</f>
        <v>0</v>
      </c>
    </row>
    <row r="17" customFormat="false" ht="15" hidden="false" customHeight="false" outlineLevel="0" collapsed="false">
      <c r="A17" s="15" t="s">
        <v>19</v>
      </c>
      <c r="B17" s="14" t="n">
        <f aca="false">COUNTIF(Consolidação!$C$12:$C$40,A17)</f>
        <v>1</v>
      </c>
    </row>
    <row r="18" customFormat="false" ht="15" hidden="false" customHeight="false" outlineLevel="0" collapsed="false">
      <c r="A18" s="15" t="s">
        <v>42</v>
      </c>
      <c r="B18" s="14" t="n">
        <f aca="false">COUNTIF(Consolidação!$C$12:$C$40,A18)</f>
        <v>0</v>
      </c>
    </row>
    <row r="19" customFormat="false" ht="15" hidden="false" customHeight="false" outlineLevel="0" collapsed="false">
      <c r="A19" s="15" t="s">
        <v>43</v>
      </c>
      <c r="B19" s="14" t="n">
        <f aca="false">COUNTIF(Consolidação!$C$12:$C$40,A19)</f>
        <v>0</v>
      </c>
    </row>
    <row r="20" customFormat="false" ht="15" hidden="false" customHeight="false" outlineLevel="0" collapsed="false">
      <c r="A20" s="15" t="s">
        <v>44</v>
      </c>
      <c r="B20" s="14" t="n">
        <f aca="false">COUNTIF(Consolidação!$C$12:$C$40,A20)</f>
        <v>0</v>
      </c>
    </row>
    <row r="21" customFormat="false" ht="15" hidden="false" customHeight="false" outlineLevel="0" collapsed="false">
      <c r="A21" s="15" t="s">
        <v>45</v>
      </c>
      <c r="B21" s="14" t="n">
        <f aca="false">COUNTIF(Consolidação!$C$12:$C$40,A21)</f>
        <v>0</v>
      </c>
    </row>
    <row r="22" customFormat="false" ht="15" hidden="false" customHeight="false" outlineLevel="0" collapsed="false">
      <c r="A22" s="15" t="s">
        <v>23</v>
      </c>
      <c r="B22" s="14" t="n">
        <f aca="false">COUNTIF(Consolidação!$C$12:$C$40,A22)</f>
        <v>1</v>
      </c>
    </row>
    <row r="23" customFormat="false" ht="15" hidden="false" customHeight="false" outlineLevel="0" collapsed="false">
      <c r="A23" s="15" t="s">
        <v>46</v>
      </c>
      <c r="B23" s="14" t="n">
        <f aca="false">COUNTIF(Consolidação!$C$12:$C$40,A23)</f>
        <v>0</v>
      </c>
    </row>
    <row r="24" customFormat="false" ht="15" hidden="false" customHeight="false" outlineLevel="0" collapsed="false">
      <c r="A24" s="15" t="s">
        <v>47</v>
      </c>
      <c r="B24" s="14" t="n">
        <f aca="false">COUNTIF(Consolidação!$C$12:$C$40,A24)</f>
        <v>0</v>
      </c>
    </row>
    <row r="25" customFormat="false" ht="15" hidden="false" customHeight="false" outlineLevel="0" collapsed="false">
      <c r="A25" s="15" t="s">
        <v>48</v>
      </c>
      <c r="B25" s="14" t="n">
        <f aca="false">COUNTIF(Consolidação!$C$12:$C$40,A25)</f>
        <v>0</v>
      </c>
    </row>
    <row r="28" customFormat="false" ht="15" hidden="false" customHeight="false" outlineLevel="0" collapsed="false">
      <c r="A28" s="3" t="s">
        <v>49</v>
      </c>
    </row>
    <row r="29" customFormat="false" ht="15" hidden="false" customHeight="false" outlineLevel="0" collapsed="false">
      <c r="A29" s="3" t="s">
        <v>50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LibreOffice/26.2.5.1$Windows_X86_64 LibreOffice_project/997786b8bfe5fadf793c1218fed3f515ec806f1b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2026-09-10T20:53:58Z</dcterms:created>
  <dc:creator>openpyxl</dc:creator>
  <dc:description/>
  <dc:language>en-US</dc:language>
  <cp:lastModifiedBy/>
  <dcterms:modified xsi:type="dcterms:W3CDTF">2026-09-17T20:23:02Z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